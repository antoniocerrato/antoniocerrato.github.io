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potesis" sheetId="1" r:id="rId1"/>
    <sheet name="Modelo" sheetId="2" r:id="rId2"/>
    <sheet name="Resultados" sheetId="3" r:id="rId3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2"/>
      <name val="Calibri"/>
    </font>
    <font>
      <b/>
      <sz val="11"/>
      <name val="Calibri"/>
    </font>
    <font>
      <color rgb="FF1656B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5765"/>
        <bgColor indexed="64"/>
      </patternFill>
    </fill>
    <fill>
      <patternFill patternType="solid">
        <fgColor rgb="FFEAF3F5"/>
        <bgColor indexed="64"/>
      </patternFill>
    </fill>
  </fills>
  <borders count="1">
    <border/>
  </borders>
  <cellStyleXfs count="1">
    <xf numFmtId="0" fontId="0" fillId="0" borderId="0"/>
  </cellStyleXfs>
  <cellXfs count="6">
    <xf numFmtId="4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4" fontId="2" fillId="3" borderId="0" xfId="0"/>
    <xf numFmtId="10" fontId="2" fillId="0" borderId="0" xfId="0"/>
    <xf numFmtId="4" fontId="3" fillId="3" borderId="0" xfId="0"/>
    <xf numFmtId="10" fontId="3" fillId="3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3" topLeftCell="B4" activePane="bottomRight" state="frozen"/>
    </sheetView>
  </sheetViews>
  <cols>
    <col min="1" max="1" width="62" customWidth="1"/>
    <col min="2" max="12" width="18" customWidth="1"/>
  </cols>
  <sheetData>
    <row r="1" ht="42" customHeight="1">
      <c r="A1" s="1" t="inlineStr">
        <is>
          <t xml:space="preserve">CASO PRÁCTICO · PLANTA DE PREFABRICADOS</t>
        </is>
      </c>
    </row>
    <row r="2" ht="42" customHeight="1">
      <c r="A2" s="0" t="inlineStr">
        <is>
          <t xml:space="preserve">Celdas azules: hipótesis editables. Euros nominales, sin IVA. Años completos.</t>
        </is>
      </c>
    </row>
    <row r="4" ht="23" customHeight="1">
      <c r="A4" s="0" t="inlineStr">
        <is>
          <t xml:space="preserve">Terreno</t>
        </is>
      </c>
      <c r="B4" s="4">
        <v>800000</v>
      </c>
    </row>
    <row r="5" ht="23" customHeight="1">
      <c r="A5" s="0" t="inlineStr">
        <is>
          <t xml:space="preserve">Nave</t>
        </is>
      </c>
      <c r="B5" s="4">
        <v>2800000</v>
      </c>
    </row>
    <row r="6" ht="23" customHeight="1">
      <c r="A6" s="0" t="inlineStr">
        <is>
          <t xml:space="preserve">Maquinaria</t>
        </is>
      </c>
      <c r="B6" s="4">
        <v>7600000</v>
      </c>
    </row>
    <row r="7" ht="23" customHeight="1">
      <c r="A7" s="0" t="inlineStr">
        <is>
          <t xml:space="preserve">Moldes</t>
        </is>
      </c>
      <c r="B7" s="4">
        <v>600000</v>
      </c>
    </row>
    <row r="8" ht="23" customHeight="1">
      <c r="A8" s="0" t="inlineStr">
        <is>
          <t xml:space="preserve">Informática</t>
        </is>
      </c>
      <c r="B8" s="4">
        <v>200000</v>
      </c>
    </row>
    <row r="9" ht="23" customHeight="1">
      <c r="A9" s="0" t="inlineStr">
        <is>
          <t xml:space="preserve">Inversión fija total</t>
        </is>
      </c>
      <c r="B9" s="2">
        <f>SUM(B4:B8)</f>
        <v>12000000</v>
      </c>
    </row>
    <row r="10" ht="23" customHeight="1">
      <c r="A10" s="0" t="inlineStr">
        <is>
          <t xml:space="preserve">Vida nave (años)</t>
        </is>
      </c>
      <c r="B10" s="4">
        <v>40</v>
      </c>
    </row>
    <row r="11" ht="23" customHeight="1">
      <c r="A11" s="0" t="inlineStr">
        <is>
          <t xml:space="preserve">Vida maquinaria (años)</t>
        </is>
      </c>
      <c r="B11" s="4">
        <v>10</v>
      </c>
    </row>
    <row r="12" ht="23" customHeight="1">
      <c r="A12" s="0" t="inlineStr">
        <is>
          <t xml:space="preserve">Vida moldes (años)</t>
        </is>
      </c>
      <c r="B12" s="4">
        <v>4</v>
      </c>
    </row>
    <row r="13" ht="23" customHeight="1">
      <c r="A13" s="0" t="inlineStr">
        <is>
          <t xml:space="preserve">Vida informática (años)</t>
        </is>
      </c>
      <c r="B13" s="4">
        <v>4</v>
      </c>
    </row>
    <row r="14" ht="23" customHeight="1">
      <c r="A14" s="0" t="inlineStr">
        <is>
          <t xml:space="preserve">Precio inicial (€/m²)</t>
        </is>
      </c>
      <c r="B14" s="4">
        <v>150</v>
      </c>
    </row>
    <row r="15" ht="23" customHeight="1">
      <c r="A15" s="0" t="inlineStr">
        <is>
          <t xml:space="preserve">Coste variable inicial (€/m²)</t>
        </is>
      </c>
      <c r="B15" s="4">
        <v>92</v>
      </c>
    </row>
    <row r="16" ht="23" customHeight="1">
      <c r="A16" s="0" t="inlineStr">
        <is>
          <t xml:space="preserve">Compras aplazables incluidas en coste (€/m²)</t>
        </is>
      </c>
      <c r="B16" s="4">
        <v>78</v>
      </c>
    </row>
    <row r="17" ht="23" customHeight="1">
      <c r="A17" s="0" t="inlineStr">
        <is>
          <t xml:space="preserve">Coste fijo inicial (€/año)</t>
        </is>
      </c>
      <c r="B17" s="4">
        <v>1600000</v>
      </c>
    </row>
    <row r="18" ht="23" customHeight="1">
      <c r="A18" s="0" t="inlineStr">
        <is>
          <t xml:space="preserve">Crecimiento precio</t>
        </is>
      </c>
      <c r="B18" s="5">
        <v>0.02</v>
      </c>
    </row>
    <row r="19" ht="23" customHeight="1">
      <c r="A19" s="0" t="inlineStr">
        <is>
          <t xml:space="preserve">Crecimiento coste variable</t>
        </is>
      </c>
      <c r="B19" s="5">
        <v>0.025</v>
      </c>
    </row>
    <row r="20" ht="23" customHeight="1">
      <c r="A20" s="0" t="inlineStr">
        <is>
          <t xml:space="preserve">Crecimiento coste fijo</t>
        </is>
      </c>
      <c r="B20" s="5">
        <v>0.02</v>
      </c>
    </row>
    <row r="21" ht="23" customHeight="1">
      <c r="A21" s="0" t="inlineStr">
        <is>
          <t xml:space="preserve">Días cobro clientes</t>
        </is>
      </c>
      <c r="B21" s="4">
        <v>60</v>
      </c>
    </row>
    <row r="22" ht="23" customHeight="1">
      <c r="A22" s="0" t="inlineStr">
        <is>
          <t xml:space="preserve">Días existencias de materiales</t>
        </is>
      </c>
      <c r="B22" s="4">
        <v>30</v>
      </c>
    </row>
    <row r="23" ht="23" customHeight="1">
      <c r="A23" s="0" t="inlineStr">
        <is>
          <t xml:space="preserve">Días pago proveedores</t>
        </is>
      </c>
      <c r="B23" s="4">
        <v>45</v>
      </c>
    </row>
    <row r="24" ht="23" customHeight="1">
      <c r="A24" s="0" t="inlineStr">
        <is>
          <t xml:space="preserve">Tipo marginal IS</t>
        </is>
      </c>
      <c r="B24" s="5">
        <v>0.25</v>
      </c>
    </row>
    <row r="25" ht="23" customHeight="1">
      <c r="A25" s="0" t="inlineStr">
        <is>
          <t xml:space="preserve">Tasa descuento proyecto</t>
        </is>
      </c>
      <c r="B25" s="5">
        <v>0.1</v>
      </c>
    </row>
    <row r="26" ht="23" customHeight="1">
      <c r="A26" s="0" t="inlineStr">
        <is>
          <t xml:space="preserve">Venta activos año 10, antes de costes e impuestos</t>
        </is>
      </c>
      <c r="B26" s="4">
        <v>3400000</v>
      </c>
    </row>
    <row r="27" ht="23" customHeight="1">
      <c r="A27" s="0" t="inlineStr">
        <is>
          <t xml:space="preserve">Coste salida año 10</t>
        </is>
      </c>
      <c r="B27" s="4">
        <v>150000</v>
      </c>
    </row>
    <row r="28" ht="23" customHeight="1">
      <c r="A28" s="0" t="inlineStr">
        <is>
          <t xml:space="preserve">Préstamo inicial</t>
        </is>
      </c>
      <c r="B28" s="4">
        <v>6000000</v>
      </c>
    </row>
    <row r="29" ht="23" customHeight="1">
      <c r="A29" s="0" t="inlineStr">
        <is>
          <t xml:space="preserve">Interés préstamo</t>
        </is>
      </c>
      <c r="B29" s="5">
        <v>0.05</v>
      </c>
    </row>
    <row r="30" ht="23" customHeight="1">
      <c r="A30" s="0" t="inlineStr">
        <is>
          <t xml:space="preserve">Principal anual años 2 a 7</t>
        </is>
      </c>
      <c r="B30" s="4">
        <v>1000000</v>
      </c>
    </row>
    <row r="31" ht="23" customHeight="1">
      <c r="A31" s="0" t="inlineStr">
        <is>
          <t xml:space="preserve">Rentabilidad exigida al accionista</t>
        </is>
      </c>
      <c r="B31" s="5">
        <v>0.1625</v>
      </c>
    </row>
    <row r="32" ht="23" customHeight="1">
      <c r="A32" s="0" t="inlineStr">
        <is>
          <t xml:space="preserve">Capacidad vendible (m²/año)</t>
        </is>
      </c>
      <c r="B32" s="4">
        <v>100000</v>
      </c>
    </row>
    <row r="33" ht="23" customHeight="1">
      <c r="A33" s="0" t="inlineStr">
        <is>
          <t xml:space="preserve">Reposición conjunta moldes + informática</t>
        </is>
      </c>
      <c r="B33" s="2">
        <f>B7+B8</f>
        <v>800000</v>
      </c>
    </row>
    <row r="34" ht="23" customHeight="1">
      <c r="A34" s="0" t="inlineStr">
        <is>
          <t xml:space="preserve">IVA máquina (ejemplo separado)</t>
        </is>
      </c>
      <c r="B34" s="5">
        <v>0.21</v>
      </c>
    </row>
    <row r="35" ht="23" customHeight="1">
      <c r="A35" s="0" t="inlineStr">
        <is>
          <t xml:space="preserve">Meses financiación IVA (hipótesis)</t>
        </is>
      </c>
      <c r="B35" s="4">
        <v>6</v>
      </c>
    </row>
    <row r="36" ht="23" customHeight="1">
      <c r="A36" s="0" t="inlineStr">
        <is>
          <t xml:space="preserve">Interés puente IVA</t>
        </is>
      </c>
      <c r="B36" s="5">
        <v>0.05</v>
      </c>
    </row>
    <row r="38" ht="42" customHeight="1">
      <c r="A38" s="0" t="inlineStr">
        <is>
          <t xml:space="preserve">Supuestos: empresa existente con beneficios suficientes para absorber resultados marginales negativos.</t>
        </is>
      </c>
    </row>
    <row r="39" ht="42" customHeight="1">
      <c r="A39" s="0" t="inlineStr">
        <is>
          <t xml:space="preserve">IS pagado en el año del devengo: simplificación anual. IVA y saldos tributarios no incluidos en NOF.</t>
        </is>
      </c>
    </row>
    <row r="40" ht="42" customHeight="1">
      <c r="A40" s="0" t="inlineStr">
        <is>
          <t xml:space="preserve">Reposiciones nominales constantes; al final de vida de moldes/informática, salvo cierre en año 10.</t>
        </is>
      </c>
    </row>
    <row r="41" ht="42" customHeight="1">
      <c r="A41" s="0" t="inlineStr">
        <is>
          <t xml:space="preserve">Venta de activos y liquidación al año 10; recuperación íntegra NOF. Sin subvenciones ni inflación del CAPEX.</t>
        </is>
      </c>
    </row>
    <row r="42" ht="42" customHeight="1">
      <c r="A42" s="0" t="inlineStr">
        <is>
          <t xml:space="preserve">La sensibilidad publicada está calculada con hipótesis base: se ofrece como referencia, no se recalcula.</t>
        </is>
      </c>
    </row>
    <row r="43" ht="42" customHeight="1">
      <c r="A43" s="0" t="inlineStr">
        <is>
          <t xml:space="preserve">Mantener préstamo = 6 x principal anual si se cambia la financiación; comprobar saldo final.</t>
        </is>
      </c>
    </row>
    <row r="44" ht="42" customHeight="1">
      <c r="A44" s="0" t="inlineStr">
        <is>
          <t xml:space="preserve">Mantener vidas útiles y calendario industrial si se quiere reproducir el artículo; cambios exigen revisar operación.</t>
        </is>
      </c>
    </row>
  </sheetData>
  <mergeCells count="9">
    <mergeCell ref="A1:L1"/>
    <mergeCell ref="A2:L2"/>
    <mergeCell ref="A38:L38"/>
    <mergeCell ref="A39:L39"/>
    <mergeCell ref="A40:L40"/>
    <mergeCell ref="A41:L41"/>
    <mergeCell ref="A42:L42"/>
    <mergeCell ref="A43:L43"/>
    <mergeCell ref="A44:L44"/>
  </mergeCells>
</worksheet>
</file>

<file path=xl/worksheets/sheet2.xml><?xml version="1.0" encoding="utf-8"?>
<worksheet xmlns="http://schemas.openxmlformats.org/spreadsheetml/2006/main">
  <sheetViews>
    <sheetView workbookViewId="0">
      <pane xSplit="1" ySplit="3" topLeftCell="B4" activePane="bottomRight" state="frozen"/>
    </sheetView>
  </sheetViews>
  <cols>
    <col min="1" max="1" width="62" customWidth="1"/>
    <col min="2" max="12" width="18" customWidth="1"/>
  </cols>
  <sheetData>
    <row r="1" ht="42" customHeight="1">
      <c r="A1" s="1" t="inlineStr">
        <is>
          <t xml:space="preserve">MODELO ANUAL · EUROS · IMPORTES SIN REDONDEAR</t>
        </is>
      </c>
    </row>
    <row r="2" ht="42" customHeight="1">
      <c r="A2" s="0" t="inlineStr">
        <is>
          <t xml:space="preserve">Producción vendida editable en fila 4. Los flujos se sitúan a final de año. NOF inicial: stock pagado.</t>
        </is>
      </c>
    </row>
    <row r="3" ht="23" customHeight="1">
      <c r="A3" s="1" t="inlineStr">
        <is>
          <t xml:space="preserve">Magnitud</t>
        </is>
      </c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</row>
    <row r="4" ht="23" customHeight="1">
      <c r="A4" s="0" t="inlineStr">
        <is>
          <t xml:space="preserve">Ventas físicas (m²)</t>
        </is>
      </c>
      <c r="B4" s="0">
        <v>0</v>
      </c>
      <c r="C4" s="4">
        <v>60000</v>
      </c>
      <c r="D4" s="4">
        <v>70000</v>
      </c>
      <c r="E4" s="4">
        <v>80000</v>
      </c>
      <c r="F4" s="4">
        <v>85000</v>
      </c>
      <c r="G4" s="4">
        <v>85000</v>
      </c>
      <c r="H4" s="4">
        <v>85000</v>
      </c>
      <c r="I4" s="4">
        <v>85000</v>
      </c>
      <c r="J4" s="4">
        <v>85000</v>
      </c>
      <c r="K4" s="4">
        <v>85000</v>
      </c>
      <c r="L4" s="4">
        <v>85000</v>
      </c>
    </row>
    <row r="5" ht="23" customHeight="1">
      <c r="A5" s="0" t="inlineStr">
        <is>
          <t xml:space="preserve">Precio (€/m²)</t>
        </is>
      </c>
      <c r="B5" s="0">
        <v>0</v>
      </c>
      <c r="C5" s="0">
        <f>Hipotesis!$B$14*(1+Hipotesis!$B$18)^(C$3-1)</f>
        <v>150</v>
      </c>
      <c r="D5" s="0">
        <f>Hipotesis!$B$14*(1+Hipotesis!$B$18)^(D$3-1)</f>
        <v>153</v>
      </c>
      <c r="E5" s="0">
        <f>Hipotesis!$B$14*(1+Hipotesis!$B$18)^(E$3-1)</f>
        <v>156.06</v>
      </c>
      <c r="F5" s="0">
        <f>Hipotesis!$B$14*(1+Hipotesis!$B$18)^(F$3-1)</f>
        <v>159.18120000000002</v>
      </c>
      <c r="G5" s="0">
        <f>Hipotesis!$B$14*(1+Hipotesis!$B$18)^(G$3-1)</f>
        <v>162.364824</v>
      </c>
      <c r="H5" s="0">
        <f>Hipotesis!$B$14*(1+Hipotesis!$B$18)^(H$3-1)</f>
        <v>165.61212048000002</v>
      </c>
      <c r="I5" s="0">
        <f>Hipotesis!$B$14*(1+Hipotesis!$B$18)^(I$3-1)</f>
        <v>168.92436288960002</v>
      </c>
      <c r="J5" s="0">
        <f>Hipotesis!$B$14*(1+Hipotesis!$B$18)^(J$3-1)</f>
        <v>172.302850147392</v>
      </c>
      <c r="K5" s="0">
        <f>Hipotesis!$B$14*(1+Hipotesis!$B$18)^(K$3-1)</f>
        <v>175.74890715033987</v>
      </c>
      <c r="L5" s="0">
        <f>Hipotesis!$B$14*(1+Hipotesis!$B$18)^(L$3-1)</f>
        <v>179.26388529334665</v>
      </c>
    </row>
    <row r="6" ht="23" customHeight="1">
      <c r="A6" s="0" t="inlineStr">
        <is>
          <t xml:space="preserve">Coste variable unitario</t>
        </is>
      </c>
      <c r="B6" s="0">
        <v>0</v>
      </c>
      <c r="C6" s="0">
        <f>Hipotesis!$B$15*(1+Hipotesis!$B$19)^(C$3-1)</f>
        <v>92</v>
      </c>
      <c r="D6" s="0">
        <f>Hipotesis!$B$15*(1+Hipotesis!$B$19)^(D$3-1)</f>
        <v>94.3</v>
      </c>
      <c r="E6" s="0">
        <f>Hipotesis!$B$15*(1+Hipotesis!$B$19)^(E$3-1)</f>
        <v>96.6575</v>
      </c>
      <c r="F6" s="0">
        <f>Hipotesis!$B$15*(1+Hipotesis!$B$19)^(F$3-1)</f>
        <v>99.073937499999957</v>
      </c>
      <c r="G6" s="0">
        <f>Hipotesis!$B$15*(1+Hipotesis!$B$19)^(G$3-1)</f>
        <v>101.55078593749997</v>
      </c>
      <c r="H6" s="0">
        <f>Hipotesis!$B$15*(1+Hipotesis!$B$19)^(H$3-1)</f>
        <v>104.08955558593745</v>
      </c>
      <c r="I6" s="0">
        <f>Hipotesis!$B$15*(1+Hipotesis!$B$19)^(I$3-1)</f>
        <v>106.69179447558588</v>
      </c>
      <c r="J6" s="0">
        <f>Hipotesis!$B$15*(1+Hipotesis!$B$19)^(J$3-1)</f>
        <v>109.35908933747552</v>
      </c>
      <c r="K6" s="0">
        <f>Hipotesis!$B$15*(1+Hipotesis!$B$19)^(K$3-1)</f>
        <v>112.09306657091238</v>
      </c>
      <c r="L6" s="0">
        <f>Hipotesis!$B$15*(1+Hipotesis!$B$19)^(L$3-1)</f>
        <v>114.8953932351852</v>
      </c>
    </row>
    <row r="7" ht="23" customHeight="1">
      <c r="A7" s="0" t="inlineStr">
        <is>
          <t xml:space="preserve">Compras unitarias aplazables</t>
        </is>
      </c>
      <c r="B7" s="0">
        <v>0</v>
      </c>
      <c r="C7" s="0">
        <f>Hipotesis!$B$16*(1+Hipotesis!$B$19)^(C$3-1)</f>
        <v>78</v>
      </c>
      <c r="D7" s="0">
        <f>Hipotesis!$B$16*(1+Hipotesis!$B$19)^(D$3-1)</f>
        <v>79.949999999999989</v>
      </c>
      <c r="E7" s="0">
        <f>Hipotesis!$B$16*(1+Hipotesis!$B$19)^(E$3-1)</f>
        <v>81.94874999999999</v>
      </c>
      <c r="F7" s="0">
        <f>Hipotesis!$B$16*(1+Hipotesis!$B$19)^(F$3-1)</f>
        <v>83.997468749999967</v>
      </c>
      <c r="G7" s="0">
        <f>Hipotesis!$B$16*(1+Hipotesis!$B$19)^(G$3-1)</f>
        <v>86.097405468749969</v>
      </c>
      <c r="H7" s="0">
        <f>Hipotesis!$B$16*(1+Hipotesis!$B$19)^(H$3-1)</f>
        <v>88.2498406054687</v>
      </c>
      <c r="I7" s="0">
        <f>Hipotesis!$B$16*(1+Hipotesis!$B$19)^(I$3-1)</f>
        <v>90.456086620605419</v>
      </c>
      <c r="J7" s="0">
        <f>Hipotesis!$B$16*(1+Hipotesis!$B$19)^(J$3-1)</f>
        <v>92.717488786120555</v>
      </c>
      <c r="K7" s="0">
        <f>Hipotesis!$B$16*(1+Hipotesis!$B$19)^(K$3-1)</f>
        <v>95.035426005773544</v>
      </c>
      <c r="L7" s="0">
        <f>Hipotesis!$B$16*(1+Hipotesis!$B$19)^(L$3-1)</f>
        <v>97.411311655917885</v>
      </c>
    </row>
    <row r="8" ht="23" customHeight="1">
      <c r="A8" s="0" t="inlineStr">
        <is>
          <t xml:space="preserve">Coste fijo</t>
        </is>
      </c>
      <c r="B8" s="0">
        <v>0</v>
      </c>
      <c r="C8" s="0">
        <f>Hipotesis!$B$17*(1+Hipotesis!$B$20)^(C$3-1)</f>
        <v>1600000</v>
      </c>
      <c r="D8" s="0">
        <f>Hipotesis!$B$17*(1+Hipotesis!$B$20)^(D$3-1)</f>
        <v>1632000</v>
      </c>
      <c r="E8" s="0">
        <f>Hipotesis!$B$17*(1+Hipotesis!$B$20)^(E$3-1)</f>
        <v>1664640</v>
      </c>
      <c r="F8" s="0">
        <f>Hipotesis!$B$17*(1+Hipotesis!$B$20)^(F$3-1)</f>
        <v>1697932.8000000005</v>
      </c>
      <c r="G8" s="0">
        <f>Hipotesis!$B$17*(1+Hipotesis!$B$20)^(G$3-1)</f>
        <v>1731891.456</v>
      </c>
      <c r="H8" s="0">
        <f>Hipotesis!$B$17*(1+Hipotesis!$B$20)^(H$3-1)</f>
        <v>1766529.28512</v>
      </c>
      <c r="I8" s="0">
        <f>Hipotesis!$B$17*(1+Hipotesis!$B$20)^(I$3-1)</f>
        <v>1801859.8708224</v>
      </c>
      <c r="J8" s="0">
        <f>Hipotesis!$B$17*(1+Hipotesis!$B$20)^(J$3-1)</f>
        <v>1837897.0682388479</v>
      </c>
      <c r="K8" s="0">
        <f>Hipotesis!$B$17*(1+Hipotesis!$B$20)^(K$3-1)</f>
        <v>1874655.0096036252</v>
      </c>
      <c r="L8" s="0">
        <f>Hipotesis!$B$17*(1+Hipotesis!$B$20)^(L$3-1)</f>
        <v>1912148.1097956975</v>
      </c>
    </row>
    <row r="9" ht="23" customHeight="1">
      <c r="A9" s="0" t="inlineStr">
        <is>
          <t xml:space="preserve">Ingresos</t>
        </is>
      </c>
      <c r="B9" s="0">
        <v>0</v>
      </c>
      <c r="C9" s="0">
        <f>C4*C5</f>
        <v>9000000</v>
      </c>
      <c r="D9" s="0">
        <f>D4*D5</f>
        <v>10710000</v>
      </c>
      <c r="E9" s="0">
        <f>E4*E5</f>
        <v>12484800</v>
      </c>
      <c r="F9" s="0">
        <f>F4*F5</f>
        <v>13530402.000000002</v>
      </c>
      <c r="G9" s="0">
        <f>G4*G5</f>
        <v>13801010.04</v>
      </c>
      <c r="H9" s="0">
        <f>H4*H5</f>
        <v>14077030.2408</v>
      </c>
      <c r="I9" s="0">
        <f>I4*I5</f>
        <v>14358570.845616002</v>
      </c>
      <c r="J9" s="0">
        <f>J4*J5</f>
        <v>14645742.262528321</v>
      </c>
      <c r="K9" s="0">
        <f>K4*K5</f>
        <v>14938657.10777889</v>
      </c>
      <c r="L9" s="0">
        <f>L4*L5</f>
        <v>15237430.249934465</v>
      </c>
    </row>
    <row r="10" ht="23" customHeight="1">
      <c r="A10" s="0" t="inlineStr">
        <is>
          <t xml:space="preserve">Coste variable total</t>
        </is>
      </c>
      <c r="B10" s="0">
        <v>0</v>
      </c>
      <c r="C10" s="0">
        <f>C4*C6</f>
        <v>5520000</v>
      </c>
      <c r="D10" s="0">
        <f>D4*D6</f>
        <v>6601000</v>
      </c>
      <c r="E10" s="0">
        <f>E4*E6</f>
        <v>7732600</v>
      </c>
      <c r="F10" s="0">
        <f>F4*F6</f>
        <v>8421284.6874999981</v>
      </c>
      <c r="G10" s="0">
        <f>G4*G6</f>
        <v>8631816.8046874963</v>
      </c>
      <c r="H10" s="0">
        <f>H4*H6</f>
        <v>8847612.2248046827</v>
      </c>
      <c r="I10" s="0">
        <f>I4*I6</f>
        <v>9068802.5304248</v>
      </c>
      <c r="J10" s="0">
        <f>J4*J6</f>
        <v>9295522.59368542</v>
      </c>
      <c r="K10" s="0">
        <f>K4*K6</f>
        <v>9527910.6585275512</v>
      </c>
      <c r="L10" s="0">
        <f>L4*L6</f>
        <v>9766108.4249907415</v>
      </c>
    </row>
    <row r="11" ht="23" customHeight="1">
      <c r="A11" s="0" t="inlineStr">
        <is>
          <t xml:space="preserve">Compras (incluidas en coste variable)</t>
        </is>
      </c>
      <c r="B11" s="0">
        <v>0</v>
      </c>
      <c r="C11" s="0">
        <f>C4*C7</f>
        <v>4680000</v>
      </c>
      <c r="D11" s="0">
        <f>D4*D7</f>
        <v>5596499.9999999991</v>
      </c>
      <c r="E11" s="0">
        <f>E4*E7</f>
        <v>6555899.9999999991</v>
      </c>
      <c r="F11" s="0">
        <f>F4*F7</f>
        <v>7139784.8437499972</v>
      </c>
      <c r="G11" s="0">
        <f>G4*G7</f>
        <v>7318279.4648437472</v>
      </c>
      <c r="H11" s="0">
        <f>H4*H7</f>
        <v>7501236.45146484</v>
      </c>
      <c r="I11" s="0">
        <f>I4*I7</f>
        <v>7688767.3627514606</v>
      </c>
      <c r="J11" s="0">
        <f>J4*J7</f>
        <v>7880986.5468202475</v>
      </c>
      <c r="K11" s="0">
        <f>K4*K7</f>
        <v>8078011.2104907511</v>
      </c>
      <c r="L11" s="0">
        <f>L4*L7</f>
        <v>8279961.49075302</v>
      </c>
    </row>
    <row r="12" ht="23" customHeight="1">
      <c r="A12" s="0" t="inlineStr">
        <is>
          <t xml:space="preserve">EBITDA</t>
        </is>
      </c>
      <c r="B12" s="2">
        <v>0</v>
      </c>
      <c r="C12" s="2">
        <f>C9-C10-C8</f>
        <v>1880000</v>
      </c>
      <c r="D12" s="2">
        <f>D9-D10-D8</f>
        <v>2477000</v>
      </c>
      <c r="E12" s="2">
        <f>E9-E10-E8</f>
        <v>3087560</v>
      </c>
      <c r="F12" s="2">
        <f>F9-F10-F8</f>
        <v>3411184.512500003</v>
      </c>
      <c r="G12" s="2">
        <f>G9-G10-G8</f>
        <v>3437301.7793125026</v>
      </c>
      <c r="H12" s="2">
        <f>H9-H10-H8</f>
        <v>3462888.7308753179</v>
      </c>
      <c r="I12" s="2">
        <f>I9-I10-I8</f>
        <v>3487908.444368802</v>
      </c>
      <c r="J12" s="2">
        <f>J9-J10-J8</f>
        <v>3512322.6006040527</v>
      </c>
      <c r="K12" s="2">
        <f>K9-K10-K8</f>
        <v>3536091.4396477118</v>
      </c>
      <c r="L12" s="2">
        <f>L9-L10-L8</f>
        <v>3559173.7151480252</v>
      </c>
    </row>
    <row r="13" ht="23" customHeight="1">
      <c r="A13" s="0" t="inlineStr">
        <is>
          <t xml:space="preserve">Amortización nave</t>
        </is>
      </c>
      <c r="B13" s="0">
        <v>0</v>
      </c>
      <c r="C13" s="0">
        <f>IF(C$3&lt;=Hipotesis!$B$10,Hipotesis!$B$5/Hipotesis!$B$10,0)</f>
        <v>70000</v>
      </c>
      <c r="D13" s="0">
        <f>IF(D$3&lt;=Hipotesis!$B$10,Hipotesis!$B$5/Hipotesis!$B$10,0)</f>
        <v>70000</v>
      </c>
      <c r="E13" s="0">
        <f>IF(E$3&lt;=Hipotesis!$B$10,Hipotesis!$B$5/Hipotesis!$B$10,0)</f>
        <v>70000</v>
      </c>
      <c r="F13" s="0">
        <f>IF(F$3&lt;=Hipotesis!$B$10,Hipotesis!$B$5/Hipotesis!$B$10,0)</f>
        <v>70000</v>
      </c>
      <c r="G13" s="0">
        <f>IF(G$3&lt;=Hipotesis!$B$10,Hipotesis!$B$5/Hipotesis!$B$10,0)</f>
        <v>70000</v>
      </c>
      <c r="H13" s="0">
        <f>IF(H$3&lt;=Hipotesis!$B$10,Hipotesis!$B$5/Hipotesis!$B$10,0)</f>
        <v>70000</v>
      </c>
      <c r="I13" s="0">
        <f>IF(I$3&lt;=Hipotesis!$B$10,Hipotesis!$B$5/Hipotesis!$B$10,0)</f>
        <v>70000</v>
      </c>
      <c r="J13" s="0">
        <f>IF(J$3&lt;=Hipotesis!$B$10,Hipotesis!$B$5/Hipotesis!$B$10,0)</f>
        <v>70000</v>
      </c>
      <c r="K13" s="0">
        <f>IF(K$3&lt;=Hipotesis!$B$10,Hipotesis!$B$5/Hipotesis!$B$10,0)</f>
        <v>70000</v>
      </c>
      <c r="L13" s="0">
        <f>IF(L$3&lt;=Hipotesis!$B$10,Hipotesis!$B$5/Hipotesis!$B$10,0)</f>
        <v>70000</v>
      </c>
    </row>
    <row r="14" ht="23" customHeight="1">
      <c r="A14" s="0" t="inlineStr">
        <is>
          <t xml:space="preserve">Amortización maquinaria</t>
        </is>
      </c>
      <c r="B14" s="0">
        <v>0</v>
      </c>
      <c r="C14" s="0">
        <f>IF(C$3&lt;=Hipotesis!$B$11,Hipotesis!$B$6/Hipotesis!$B$11,0)</f>
        <v>760000</v>
      </c>
      <c r="D14" s="0">
        <f>IF(D$3&lt;=Hipotesis!$B$11,Hipotesis!$B$6/Hipotesis!$B$11,0)</f>
        <v>760000</v>
      </c>
      <c r="E14" s="0">
        <f>IF(E$3&lt;=Hipotesis!$B$11,Hipotesis!$B$6/Hipotesis!$B$11,0)</f>
        <v>760000</v>
      </c>
      <c r="F14" s="0">
        <f>IF(F$3&lt;=Hipotesis!$B$11,Hipotesis!$B$6/Hipotesis!$B$11,0)</f>
        <v>760000</v>
      </c>
      <c r="G14" s="0">
        <f>IF(G$3&lt;=Hipotesis!$B$11,Hipotesis!$B$6/Hipotesis!$B$11,0)</f>
        <v>760000</v>
      </c>
      <c r="H14" s="0">
        <f>IF(H$3&lt;=Hipotesis!$B$11,Hipotesis!$B$6/Hipotesis!$B$11,0)</f>
        <v>760000</v>
      </c>
      <c r="I14" s="0">
        <f>IF(I$3&lt;=Hipotesis!$B$11,Hipotesis!$B$6/Hipotesis!$B$11,0)</f>
        <v>760000</v>
      </c>
      <c r="J14" s="0">
        <f>IF(J$3&lt;=Hipotesis!$B$11,Hipotesis!$B$6/Hipotesis!$B$11,0)</f>
        <v>760000</v>
      </c>
      <c r="K14" s="0">
        <f>IF(K$3&lt;=Hipotesis!$B$11,Hipotesis!$B$6/Hipotesis!$B$11,0)</f>
        <v>760000</v>
      </c>
      <c r="L14" s="0">
        <f>IF(L$3&lt;=Hipotesis!$B$11,Hipotesis!$B$6/Hipotesis!$B$11,0)</f>
        <v>760000</v>
      </c>
    </row>
    <row r="15" ht="23" customHeight="1">
      <c r="A15" s="0" t="inlineStr">
        <is>
          <t xml:space="preserve">Amortización moldes</t>
        </is>
      </c>
      <c r="B15" s="0">
        <v>0</v>
      </c>
      <c r="C15" s="0">
        <f>Hipotesis!$B$7/Hipotesis!$B$12</f>
        <v>150000</v>
      </c>
      <c r="D15" s="0">
        <f>Hipotesis!$B$7/Hipotesis!$B$12</f>
        <v>150000</v>
      </c>
      <c r="E15" s="0">
        <f>Hipotesis!$B$7/Hipotesis!$B$12</f>
        <v>150000</v>
      </c>
      <c r="F15" s="0">
        <f>Hipotesis!$B$7/Hipotesis!$B$12</f>
        <v>150000</v>
      </c>
      <c r="G15" s="0">
        <f>Hipotesis!$B$7/Hipotesis!$B$12</f>
        <v>150000</v>
      </c>
      <c r="H15" s="0">
        <f>Hipotesis!$B$7/Hipotesis!$B$12</f>
        <v>150000</v>
      </c>
      <c r="I15" s="0">
        <f>Hipotesis!$B$7/Hipotesis!$B$12</f>
        <v>150000</v>
      </c>
      <c r="J15" s="0">
        <f>Hipotesis!$B$7/Hipotesis!$B$12</f>
        <v>150000</v>
      </c>
      <c r="K15" s="0">
        <f>Hipotesis!$B$7/Hipotesis!$B$12</f>
        <v>150000</v>
      </c>
      <c r="L15" s="0">
        <f>Hipotesis!$B$7/Hipotesis!$B$12</f>
        <v>150000</v>
      </c>
    </row>
    <row r="16" ht="23" customHeight="1">
      <c r="A16" s="0" t="inlineStr">
        <is>
          <t xml:space="preserve">Amortización informática</t>
        </is>
      </c>
      <c r="B16" s="0">
        <v>0</v>
      </c>
      <c r="C16" s="0">
        <f>Hipotesis!$B$8/Hipotesis!$B$13</f>
        <v>50000</v>
      </c>
      <c r="D16" s="0">
        <f>Hipotesis!$B$8/Hipotesis!$B$13</f>
        <v>50000</v>
      </c>
      <c r="E16" s="0">
        <f>Hipotesis!$B$8/Hipotesis!$B$13</f>
        <v>50000</v>
      </c>
      <c r="F16" s="0">
        <f>Hipotesis!$B$8/Hipotesis!$B$13</f>
        <v>50000</v>
      </c>
      <c r="G16" s="0">
        <f>Hipotesis!$B$8/Hipotesis!$B$13</f>
        <v>50000</v>
      </c>
      <c r="H16" s="0">
        <f>Hipotesis!$B$8/Hipotesis!$B$13</f>
        <v>50000</v>
      </c>
      <c r="I16" s="0">
        <f>Hipotesis!$B$8/Hipotesis!$B$13</f>
        <v>50000</v>
      </c>
      <c r="J16" s="0">
        <f>Hipotesis!$B$8/Hipotesis!$B$13</f>
        <v>50000</v>
      </c>
      <c r="K16" s="0">
        <f>Hipotesis!$B$8/Hipotesis!$B$13</f>
        <v>50000</v>
      </c>
      <c r="L16" s="0">
        <f>Hipotesis!$B$8/Hipotesis!$B$13</f>
        <v>50000</v>
      </c>
    </row>
    <row r="17" ht="23" customHeight="1">
      <c r="A17" s="0" t="inlineStr">
        <is>
          <t xml:space="preserve">Amortización total</t>
        </is>
      </c>
      <c r="B17" s="2">
        <v>0</v>
      </c>
      <c r="C17" s="2">
        <f>SUM(C13:C16)</f>
        <v>1030000</v>
      </c>
      <c r="D17" s="2">
        <f>SUM(D13:D16)</f>
        <v>1030000</v>
      </c>
      <c r="E17" s="2">
        <f>SUM(E13:E16)</f>
        <v>1030000</v>
      </c>
      <c r="F17" s="2">
        <f>SUM(F13:F16)</f>
        <v>1030000</v>
      </c>
      <c r="G17" s="2">
        <f>SUM(G13:G16)</f>
        <v>1030000</v>
      </c>
      <c r="H17" s="2">
        <f>SUM(H13:H16)</f>
        <v>1030000</v>
      </c>
      <c r="I17" s="2">
        <f>SUM(I13:I16)</f>
        <v>1030000</v>
      </c>
      <c r="J17" s="2">
        <f>SUM(J13:J16)</f>
        <v>1030000</v>
      </c>
      <c r="K17" s="2">
        <f>SUM(K13:K16)</f>
        <v>1030000</v>
      </c>
      <c r="L17" s="2">
        <f>SUM(L13:L16)</f>
        <v>1030000</v>
      </c>
    </row>
    <row r="18" ht="23" customHeight="1">
      <c r="A18" s="0" t="inlineStr">
        <is>
          <t xml:space="preserve">EBIT</t>
        </is>
      </c>
      <c r="B18" s="2">
        <v>0</v>
      </c>
      <c r="C18" s="2">
        <f>C12-C17</f>
        <v>850000</v>
      </c>
      <c r="D18" s="2">
        <f>D12-D17</f>
        <v>1447000</v>
      </c>
      <c r="E18" s="2">
        <f>E12-E17</f>
        <v>2057560</v>
      </c>
      <c r="F18" s="2">
        <f>F12-F17</f>
        <v>2381184.512500003</v>
      </c>
      <c r="G18" s="2">
        <f>G12-G17</f>
        <v>2407301.7793125026</v>
      </c>
      <c r="H18" s="2">
        <f>H12-H17</f>
        <v>2432888.7308753179</v>
      </c>
      <c r="I18" s="2">
        <f>I12-I17</f>
        <v>2457908.444368802</v>
      </c>
      <c r="J18" s="2">
        <f>J12-J17</f>
        <v>2482322.6006040527</v>
      </c>
      <c r="K18" s="2">
        <f>K12-K17</f>
        <v>2506091.4396477118</v>
      </c>
      <c r="L18" s="2">
        <f>L12-L17</f>
        <v>2529173.7151480252</v>
      </c>
    </row>
    <row r="19" ht="23" customHeight="1">
      <c r="A19" s="0" t="inlineStr">
        <is>
          <t xml:space="preserve">IS teórico sin deuda</t>
        </is>
      </c>
      <c r="B19" s="0">
        <v>0</v>
      </c>
      <c r="C19" s="0">
        <f>C18*Hipotesis!$B$24</f>
        <v>212500</v>
      </c>
      <c r="D19" s="0">
        <f>D18*Hipotesis!$B$24</f>
        <v>361750</v>
      </c>
      <c r="E19" s="0">
        <f>E18*Hipotesis!$B$24</f>
        <v>514390</v>
      </c>
      <c r="F19" s="0">
        <f>F18*Hipotesis!$B$24</f>
        <v>595296.12812500086</v>
      </c>
      <c r="G19" s="0">
        <f>G18*Hipotesis!$B$24</f>
        <v>601825.44482812565</v>
      </c>
      <c r="H19" s="0">
        <f>H18*Hipotesis!$B$24</f>
        <v>608222.18271882948</v>
      </c>
      <c r="I19" s="0">
        <f>I18*Hipotesis!$B$24</f>
        <v>614477.1110922005</v>
      </c>
      <c r="J19" s="0">
        <f>J18*Hipotesis!$B$24</f>
        <v>620580.65015101316</v>
      </c>
      <c r="K19" s="0">
        <f>K18*Hipotesis!$B$24</f>
        <v>626522.859911928</v>
      </c>
      <c r="L19" s="0">
        <f>L18*Hipotesis!$B$24</f>
        <v>632293.4287870063</v>
      </c>
    </row>
    <row r="20" ht="23" customHeight="1">
      <c r="A20" s="0" t="inlineStr">
        <is>
          <t xml:space="preserve">Clientes</t>
        </is>
      </c>
      <c r="B20" s="0">
        <v>0</v>
      </c>
      <c r="C20" s="0">
        <f>C9*Hipotesis!$B$21/365</f>
        <v>1479452.0547945206</v>
      </c>
      <c r="D20" s="0">
        <f>D9*Hipotesis!$B$21/365</f>
        <v>1760547.9452054794</v>
      </c>
      <c r="E20" s="0">
        <f>E9*Hipotesis!$B$21/365</f>
        <v>2052295.8904109588</v>
      </c>
      <c r="F20" s="0">
        <f>F9*Hipotesis!$B$21/365</f>
        <v>2224175.6712328768</v>
      </c>
      <c r="G20" s="0">
        <f>G9*Hipotesis!$B$21/365</f>
        <v>2268659.1846575341</v>
      </c>
      <c r="H20" s="0">
        <f>H9*Hipotesis!$B$21/365</f>
        <v>2314032.3683506851</v>
      </c>
      <c r="I20" s="0">
        <f>I9*Hipotesis!$B$21/365</f>
        <v>2360313.0157176987</v>
      </c>
      <c r="J20" s="0">
        <f>J9*Hipotesis!$B$21/365</f>
        <v>2407519.2760320525</v>
      </c>
      <c r="K20" s="0">
        <f>K9*Hipotesis!$B$21/365</f>
        <v>2455669.6615526946</v>
      </c>
      <c r="L20" s="0">
        <f>L9*Hipotesis!$B$21/365</f>
        <v>2504783.0547837475</v>
      </c>
    </row>
    <row r="21" ht="23" customHeight="1">
      <c r="A21" s="0" t="inlineStr">
        <is>
          <t xml:space="preserve">Existencias materiales</t>
        </is>
      </c>
      <c r="B21" s="0">
        <f>C4*Hipotesis!B16*Hipotesis!B22/365</f>
        <v>384657.53424657532</v>
      </c>
      <c r="C21" s="0">
        <f>C11*Hipotesis!$B$22/365</f>
        <v>384657.53424657532</v>
      </c>
      <c r="D21" s="0">
        <f>D11*Hipotesis!$B$22/365</f>
        <v>459986.30136986292</v>
      </c>
      <c r="E21" s="0">
        <f>E11*Hipotesis!$B$22/365</f>
        <v>538841.09589041083</v>
      </c>
      <c r="F21" s="0">
        <f>F11*Hipotesis!$B$22/365</f>
        <v>586831.63099315041</v>
      </c>
      <c r="G21" s="0">
        <f>G11*Hipotesis!$B$22/365</f>
        <v>601502.42176797916</v>
      </c>
      <c r="H21" s="0">
        <f>H11*Hipotesis!$B$22/365</f>
        <v>616539.98231217859</v>
      </c>
      <c r="I21" s="0">
        <f>I11*Hipotesis!$B$22/365</f>
        <v>631953.48186998314</v>
      </c>
      <c r="J21" s="0">
        <f>J11*Hipotesis!$B$22/365</f>
        <v>647752.31891673268</v>
      </c>
      <c r="K21" s="0">
        <f>K11*Hipotesis!$B$22/365</f>
        <v>663946.12688965083</v>
      </c>
      <c r="L21" s="0">
        <f>L11*Hipotesis!$B$22/365</f>
        <v>680544.780061892</v>
      </c>
    </row>
    <row r="22" ht="23" customHeight="1">
      <c r="A22" s="0" t="inlineStr">
        <is>
          <t xml:space="preserve">Proveedores</t>
        </is>
      </c>
      <c r="B22" s="0">
        <v>0</v>
      </c>
      <c r="C22" s="0">
        <f>C11*Hipotesis!$B$23/365</f>
        <v>576986.301369863</v>
      </c>
      <c r="D22" s="0">
        <f>D11*Hipotesis!$B$23/365</f>
        <v>689979.45205479441</v>
      </c>
      <c r="E22" s="0">
        <f>E11*Hipotesis!$B$23/365</f>
        <v>808261.6438356163</v>
      </c>
      <c r="F22" s="0">
        <f>F11*Hipotesis!$B$23/365</f>
        <v>880247.44648972573</v>
      </c>
      <c r="G22" s="0">
        <f>G11*Hipotesis!$B$23/365</f>
        <v>902253.63265196874</v>
      </c>
      <c r="H22" s="0">
        <f>H11*Hipotesis!$B$23/365</f>
        <v>924809.973468268</v>
      </c>
      <c r="I22" s="0">
        <f>I11*Hipotesis!$B$23/365</f>
        <v>947930.22280497442</v>
      </c>
      <c r="J22" s="0">
        <f>J11*Hipotesis!$B$23/365</f>
        <v>971628.478375099</v>
      </c>
      <c r="K22" s="0">
        <f>K11*Hipotesis!$B$23/365</f>
        <v>995919.19033447618</v>
      </c>
      <c r="L22" s="0">
        <f>L11*Hipotesis!$B$23/365</f>
        <v>1020817.170092838</v>
      </c>
    </row>
    <row r="23" ht="23" customHeight="1">
      <c r="A23" s="0" t="inlineStr">
        <is>
          <t xml:space="preserve">NOF (antes de liquidación)</t>
        </is>
      </c>
      <c r="B23" s="2">
        <f>B21</f>
        <v>384657.53424657532</v>
      </c>
      <c r="C23" s="2">
        <f>C20+C21-C22</f>
        <v>1287123.2876712331</v>
      </c>
      <c r="D23" s="2">
        <f>D20+D21-D22</f>
        <v>1530554.7945205481</v>
      </c>
      <c r="E23" s="2">
        <f>E20+E21-E22</f>
        <v>1782875.3424657532</v>
      </c>
      <c r="F23" s="2">
        <f>F20+F21-F22</f>
        <v>1930759.8557363015</v>
      </c>
      <c r="G23" s="2">
        <f>G20+G21-G22</f>
        <v>1967907.9737735449</v>
      </c>
      <c r="H23" s="2">
        <f>H20+H21-H22</f>
        <v>2005762.377194596</v>
      </c>
      <c r="I23" s="2">
        <f>I20+I21-I22</f>
        <v>2044336.2747827072</v>
      </c>
      <c r="J23" s="2">
        <f>J20+J21-J22</f>
        <v>2083643.1165736865</v>
      </c>
      <c r="K23" s="2">
        <f>K20+K21-K22</f>
        <v>2123696.5981078693</v>
      </c>
      <c r="L23" s="2">
        <f>L20+L21-L22</f>
        <v>2164510.6647528019</v>
      </c>
    </row>
    <row r="24" ht="23" customHeight="1">
      <c r="A24" s="0" t="inlineStr">
        <is>
          <t xml:space="preserve">Variación NOF</t>
        </is>
      </c>
      <c r="B24" s="0">
        <v>0</v>
      </c>
      <c r="C24" s="0">
        <f>C23-B23</f>
        <v>902465.75342465763</v>
      </c>
      <c r="D24" s="0">
        <f>D23-C23</f>
        <v>243431.50684931505</v>
      </c>
      <c r="E24" s="0">
        <f>E23-D23</f>
        <v>252320.54794520512</v>
      </c>
      <c r="F24" s="0">
        <f>F23-E23</f>
        <v>147884.51327054854</v>
      </c>
      <c r="G24" s="0">
        <f>G23-F23</f>
        <v>37148.118037242908</v>
      </c>
      <c r="H24" s="0">
        <f>H23-G23</f>
        <v>37854.403421051335</v>
      </c>
      <c r="I24" s="0">
        <f>I23-H23</f>
        <v>38573.897588111227</v>
      </c>
      <c r="J24" s="0">
        <f>J23-I23</f>
        <v>39306.84179097903</v>
      </c>
      <c r="K24" s="0">
        <f>K23-J23</f>
        <v>40053.481534183025</v>
      </c>
      <c r="L24" s="0">
        <f>L23-K23</f>
        <v>40814.066644932609</v>
      </c>
    </row>
    <row r="25" ht="23" customHeight="1">
      <c r="A25" s="0" t="inlineStr">
        <is>
          <t xml:space="preserve">Inversión fija / reposiciones</t>
        </is>
      </c>
      <c r="B25" s="0">
        <f>Hipotesis!B9</f>
        <v>12000000</v>
      </c>
      <c r="C25" s="0">
        <f>IF(C$3&lt;10,IF(MOD(C$3,Hipotesis!$B$12)=0,Hipotesis!$B$7,0)+IF(MOD(C$3,Hipotesis!$B$13)=0,Hipotesis!$B$8,0),0)</f>
        <v>0</v>
      </c>
      <c r="D25" s="0">
        <f>IF(D$3&lt;10,IF(MOD(D$3,Hipotesis!$B$12)=0,Hipotesis!$B$7,0)+IF(MOD(D$3,Hipotesis!$B$13)=0,Hipotesis!$B$8,0),0)</f>
        <v>0</v>
      </c>
      <c r="E25" s="0">
        <f>IF(E$3&lt;10,IF(MOD(E$3,Hipotesis!$B$12)=0,Hipotesis!$B$7,0)+IF(MOD(E$3,Hipotesis!$B$13)=0,Hipotesis!$B$8,0),0)</f>
        <v>0</v>
      </c>
      <c r="F25" s="0">
        <f>IF(F$3&lt;10,IF(MOD(F$3,Hipotesis!$B$12)=0,Hipotesis!$B$7,0)+IF(MOD(F$3,Hipotesis!$B$13)=0,Hipotesis!$B$8,0),0)</f>
        <v>800000</v>
      </c>
      <c r="G25" s="0">
        <f>IF(G$3&lt;10,IF(MOD(G$3,Hipotesis!$B$12)=0,Hipotesis!$B$7,0)+IF(MOD(G$3,Hipotesis!$B$13)=0,Hipotesis!$B$8,0),0)</f>
        <v>0</v>
      </c>
      <c r="H25" s="0">
        <f>IF(H$3&lt;10,IF(MOD(H$3,Hipotesis!$B$12)=0,Hipotesis!$B$7,0)+IF(MOD(H$3,Hipotesis!$B$13)=0,Hipotesis!$B$8,0),0)</f>
        <v>0</v>
      </c>
      <c r="I25" s="0">
        <f>IF(I$3&lt;10,IF(MOD(I$3,Hipotesis!$B$12)=0,Hipotesis!$B$7,0)+IF(MOD(I$3,Hipotesis!$B$13)=0,Hipotesis!$B$8,0),0)</f>
        <v>0</v>
      </c>
      <c r="J25" s="0">
        <f>IF(J$3&lt;10,IF(MOD(J$3,Hipotesis!$B$12)=0,Hipotesis!$B$7,0)+IF(MOD(J$3,Hipotesis!$B$13)=0,Hipotesis!$B$8,0),0)</f>
        <v>800000</v>
      </c>
      <c r="K25" s="0">
        <f>IF(K$3&lt;10,IF(MOD(K$3,Hipotesis!$B$12)=0,Hipotesis!$B$7,0)+IF(MOD(K$3,Hipotesis!$B$13)=0,Hipotesis!$B$8,0),0)</f>
        <v>0</v>
      </c>
      <c r="L25" s="0">
        <f>IF(L$3&lt;10,IF(MOD(L$3,Hipotesis!$B$12)=0,Hipotesis!$B$7,0)+IF(MOD(L$3,Hipotesis!$B$13)=0,Hipotesis!$B$8,0),0)</f>
        <v>0</v>
      </c>
    </row>
    <row r="26" ht="23" customHeight="1">
      <c r="A26" s="0" t="inlineStr">
        <is>
          <t xml:space="preserve">Valor contable activos (antes de venta)</t>
        </is>
      </c>
      <c r="B26" s="0">
        <f>B25</f>
        <v>12000000</v>
      </c>
      <c r="C26" s="0">
        <f>B26+C25-C17</f>
        <v>10970000</v>
      </c>
      <c r="D26" s="0">
        <f>C26+D25-D17</f>
        <v>9940000</v>
      </c>
      <c r="E26" s="0">
        <f>D26+E25-E17</f>
        <v>8910000</v>
      </c>
      <c r="F26" s="0">
        <f>E26+F25-F17</f>
        <v>8680000</v>
      </c>
      <c r="G26" s="0">
        <f>F26+G25-G17</f>
        <v>7650000</v>
      </c>
      <c r="H26" s="0">
        <f>G26+H25-H17</f>
        <v>6620000</v>
      </c>
      <c r="I26" s="0">
        <f>H26+I25-I17</f>
        <v>5590000</v>
      </c>
      <c r="J26" s="0">
        <f>I26+J25-J17</f>
        <v>5360000</v>
      </c>
      <c r="K26" s="0">
        <f>J26+K25-K17</f>
        <v>4330000</v>
      </c>
      <c r="L26" s="0">
        <f>K26+L25-L17</f>
        <v>3300000</v>
      </c>
    </row>
    <row r="27" ht="23" customHeight="1">
      <c r="A27" s="0" t="inlineStr">
        <is>
          <t xml:space="preserve">Cobro bruto venta activos</t>
        </is>
      </c>
      <c r="B27" s="0">
        <v>0</v>
      </c>
      <c r="C27" s="0">
        <f>IF(C$3=10,Hipotesis!$B$26,0)</f>
        <v>0</v>
      </c>
      <c r="D27" s="0">
        <f>IF(D$3=10,Hipotesis!$B$26,0)</f>
        <v>0</v>
      </c>
      <c r="E27" s="0">
        <f>IF(E$3=10,Hipotesis!$B$26,0)</f>
        <v>0</v>
      </c>
      <c r="F27" s="0">
        <f>IF(F$3=10,Hipotesis!$B$26,0)</f>
        <v>0</v>
      </c>
      <c r="G27" s="0">
        <f>IF(G$3=10,Hipotesis!$B$26,0)</f>
        <v>0</v>
      </c>
      <c r="H27" s="0">
        <f>IF(H$3=10,Hipotesis!$B$26,0)</f>
        <v>0</v>
      </c>
      <c r="I27" s="0">
        <f>IF(I$3=10,Hipotesis!$B$26,0)</f>
        <v>0</v>
      </c>
      <c r="J27" s="0">
        <f>IF(J$3=10,Hipotesis!$B$26,0)</f>
        <v>0</v>
      </c>
      <c r="K27" s="0">
        <f>IF(K$3=10,Hipotesis!$B$26,0)</f>
        <v>0</v>
      </c>
      <c r="L27" s="0">
        <f>IF(L$3=10,Hipotesis!$B$26,0)</f>
        <v>3400000</v>
      </c>
    </row>
    <row r="28" ht="23" customHeight="1">
      <c r="A28" s="0" t="inlineStr">
        <is>
          <t xml:space="preserve">Coste salida</t>
        </is>
      </c>
      <c r="B28" s="0">
        <v>0</v>
      </c>
      <c r="C28" s="0">
        <f>IF(C$3=10,Hipotesis!$B$27,0)</f>
        <v>0</v>
      </c>
      <c r="D28" s="0">
        <f>IF(D$3=10,Hipotesis!$B$27,0)</f>
        <v>0</v>
      </c>
      <c r="E28" s="0">
        <f>IF(E$3=10,Hipotesis!$B$27,0)</f>
        <v>0</v>
      </c>
      <c r="F28" s="0">
        <f>IF(F$3=10,Hipotesis!$B$27,0)</f>
        <v>0</v>
      </c>
      <c r="G28" s="0">
        <f>IF(G$3=10,Hipotesis!$B$27,0)</f>
        <v>0</v>
      </c>
      <c r="H28" s="0">
        <f>IF(H$3=10,Hipotesis!$B$27,0)</f>
        <v>0</v>
      </c>
      <c r="I28" s="0">
        <f>IF(I$3=10,Hipotesis!$B$27,0)</f>
        <v>0</v>
      </c>
      <c r="J28" s="0">
        <f>IF(J$3=10,Hipotesis!$B$27,0)</f>
        <v>0</v>
      </c>
      <c r="K28" s="0">
        <f>IF(K$3=10,Hipotesis!$B$27,0)</f>
        <v>0</v>
      </c>
      <c r="L28" s="0">
        <f>IF(L$3=10,Hipotesis!$B$27,0)</f>
        <v>150000</v>
      </c>
    </row>
    <row r="29" ht="23" customHeight="1">
      <c r="A29" s="0" t="inlineStr">
        <is>
          <t xml:space="preserve">Impuesto sobre resultado venta</t>
        </is>
      </c>
      <c r="B29" s="0">
        <v>0</v>
      </c>
      <c r="C29" s="0">
        <f>IF(C$3=10,(C27-C28-C26)*Hipotesis!$B$24,0)</f>
        <v>0</v>
      </c>
      <c r="D29" s="0">
        <f>IF(D$3=10,(D27-D28-D26)*Hipotesis!$B$24,0)</f>
        <v>0</v>
      </c>
      <c r="E29" s="0">
        <f>IF(E$3=10,(E27-E28-E26)*Hipotesis!$B$24,0)</f>
        <v>0</v>
      </c>
      <c r="F29" s="0">
        <f>IF(F$3=10,(F27-F28-F26)*Hipotesis!$B$24,0)</f>
        <v>0</v>
      </c>
      <c r="G29" s="0">
        <f>IF(G$3=10,(G27-G28-G26)*Hipotesis!$B$24,0)</f>
        <v>0</v>
      </c>
      <c r="H29" s="0">
        <f>IF(H$3=10,(H27-H28-H26)*Hipotesis!$B$24,0)</f>
        <v>0</v>
      </c>
      <c r="I29" s="0">
        <f>IF(I$3=10,(I27-I28-I26)*Hipotesis!$B$24,0)</f>
        <v>0</v>
      </c>
      <c r="J29" s="0">
        <f>IF(J$3=10,(J27-J28-J26)*Hipotesis!$B$24,0)</f>
        <v>0</v>
      </c>
      <c r="K29" s="0">
        <f>IF(K$3=10,(K27-K28-K26)*Hipotesis!$B$24,0)</f>
        <v>0</v>
      </c>
      <c r="L29" s="0">
        <f>IF(L$3=10,(L27-L28-L26)*Hipotesis!$B$24,0)</f>
        <v>-12500</v>
      </c>
    </row>
    <row r="30" ht="23" customHeight="1">
      <c r="A30" s="0" t="inlineStr">
        <is>
          <t xml:space="preserve">Venta neta de coste e impuesto</t>
        </is>
      </c>
      <c r="B30" s="0">
        <v>0</v>
      </c>
      <c r="C30" s="0">
        <f>C27-C28-C29</f>
        <v>0</v>
      </c>
      <c r="D30" s="0">
        <f>D27-D28-D29</f>
        <v>0</v>
      </c>
      <c r="E30" s="0">
        <f>E27-E28-E29</f>
        <v>0</v>
      </c>
      <c r="F30" s="0">
        <f>F27-F28-F29</f>
        <v>0</v>
      </c>
      <c r="G30" s="0">
        <f>G27-G28-G29</f>
        <v>0</v>
      </c>
      <c r="H30" s="0">
        <f>H27-H28-H29</f>
        <v>0</v>
      </c>
      <c r="I30" s="0">
        <f>I27-I28-I29</f>
        <v>0</v>
      </c>
      <c r="J30" s="0">
        <f>J27-J28-J29</f>
        <v>0</v>
      </c>
      <c r="K30" s="0">
        <f>K27-K28-K29</f>
        <v>0</v>
      </c>
      <c r="L30" s="0">
        <f>L27-L28-L29</f>
        <v>3262500</v>
      </c>
    </row>
    <row r="31" ht="23" customHeight="1">
      <c r="A31" s="0" t="inlineStr">
        <is>
          <t xml:space="preserve">Recuperación NOF al cierre</t>
        </is>
      </c>
      <c r="B31" s="0">
        <v>0</v>
      </c>
      <c r="C31" s="0">
        <f>IF(C$3=10,C23,0)</f>
        <v>0</v>
      </c>
      <c r="D31" s="0">
        <f>IF(D$3=10,D23,0)</f>
        <v>0</v>
      </c>
      <c r="E31" s="0">
        <f>IF(E$3=10,E23,0)</f>
        <v>0</v>
      </c>
      <c r="F31" s="0">
        <f>IF(F$3=10,F23,0)</f>
        <v>0</v>
      </c>
      <c r="G31" s="0">
        <f>IF(G$3=10,G23,0)</f>
        <v>0</v>
      </c>
      <c r="H31" s="0">
        <f>IF(H$3=10,H23,0)</f>
        <v>0</v>
      </c>
      <c r="I31" s="0">
        <f>IF(I$3=10,I23,0)</f>
        <v>0</v>
      </c>
      <c r="J31" s="0">
        <f>IF(J$3=10,J23,0)</f>
        <v>0</v>
      </c>
      <c r="K31" s="0">
        <f>IF(K$3=10,K23,0)</f>
        <v>0</v>
      </c>
      <c r="L31" s="0">
        <f>IF(L$3=10,L23,0)</f>
        <v>2164510.6647528019</v>
      </c>
    </row>
    <row r="32" ht="23" customHeight="1">
      <c r="A32" s="0" t="inlineStr">
        <is>
          <t xml:space="preserve">Flujo libre del proyecto</t>
        </is>
      </c>
      <c r="B32" s="2">
        <f>-B25-B23</f>
        <v>-12384657.534246575</v>
      </c>
      <c r="C32" s="2">
        <f>C12-C19-C24-C25+C30+C31</f>
        <v>765034.24657534226</v>
      </c>
      <c r="D32" s="2">
        <f>D12-D19-D24-D25+D30+D31</f>
        <v>1871818.493150685</v>
      </c>
      <c r="E32" s="2">
        <f>E12-E19-E24-E25+E30+E31</f>
        <v>2320849.4520547949</v>
      </c>
      <c r="F32" s="2">
        <f>F12-F19-F24-F25+F30+F31</f>
        <v>1868003.8711044544</v>
      </c>
      <c r="G32" s="2">
        <f>G12-G19-G24-G25+G30+G31</f>
        <v>2798328.216447134</v>
      </c>
      <c r="H32" s="2">
        <f>H12-H19-H24-H25+H30+H31</f>
        <v>2816812.1447354378</v>
      </c>
      <c r="I32" s="2">
        <f>I12-I19-I24-I25+I30+I31</f>
        <v>2834857.43568849</v>
      </c>
      <c r="J32" s="2">
        <f>J12-J19-J24-J25+J30+J31</f>
        <v>2052435.1086620605</v>
      </c>
      <c r="K32" s="2">
        <f>K12-K19-K24-K25+K30+K31</f>
        <v>2869515.0982016008</v>
      </c>
      <c r="L32" s="2">
        <f>L12-L19-L24-L25+L30+L31</f>
        <v>8313076.8844688889</v>
      </c>
    </row>
    <row r="33" ht="23" customHeight="1">
      <c r="A33" s="0" t="inlineStr">
        <is>
          <t xml:space="preserve">Flujo actualizado al 10 % / tasa elegida</t>
        </is>
      </c>
      <c r="B33" s="0">
        <f>B32</f>
        <v>-12384657.534246575</v>
      </c>
      <c r="C33" s="0">
        <f>C32/(1+Hipotesis!$B$25)^C$3</f>
        <v>695485.67870485655</v>
      </c>
      <c r="D33" s="0">
        <f>D32/(1+Hipotesis!$B$25)^D$3</f>
        <v>1546957.4323559378</v>
      </c>
      <c r="E33" s="0">
        <f>E32/(1+Hipotesis!$B$25)^E$3</f>
        <v>1743688.5439930835</v>
      </c>
      <c r="F33" s="0">
        <f>F32/(1+Hipotesis!$B$25)^F$3</f>
        <v>1275871.778638381</v>
      </c>
      <c r="G33" s="0">
        <f>G32/(1+Hipotesis!$B$25)^G$3</f>
        <v>1737541.65851012</v>
      </c>
      <c r="H33" s="0">
        <f>H32/(1+Hipotesis!$B$25)^H$3</f>
        <v>1590017.0215620212</v>
      </c>
      <c r="I33" s="0">
        <f>I32/(1+Hipotesis!$B$25)^I$3</f>
        <v>1454730.1071502315</v>
      </c>
      <c r="J33" s="0">
        <f>J32/(1+Hipotesis!$B$25)^J$3</f>
        <v>957476.12559241662</v>
      </c>
      <c r="K33" s="0">
        <f>K32/(1+Hipotesis!$B$25)^K$3</f>
        <v>1216954.5190311852</v>
      </c>
      <c r="L33" s="0">
        <f>L32/(1+Hipotesis!$B$25)^L$3</f>
        <v>3205051.0073187361</v>
      </c>
    </row>
    <row r="34" ht="23" customHeight="1">
      <c r="A34" s="0" t="inlineStr">
        <is>
          <t xml:space="preserve">Acumulado sin descontar</t>
        </is>
      </c>
      <c r="B34" s="0">
        <f>B32</f>
        <v>-12384657.534246575</v>
      </c>
      <c r="C34" s="0">
        <f>B34+C32</f>
        <v>-11619623.287671233</v>
      </c>
      <c r="D34" s="0">
        <f>C34+D32</f>
        <v>-9747804.7945205476</v>
      </c>
      <c r="E34" s="0">
        <f>D34+E32</f>
        <v>-7426955.3424657527</v>
      </c>
      <c r="F34" s="0">
        <f>E34+F32</f>
        <v>-5558951.4713612981</v>
      </c>
      <c r="G34" s="0">
        <f>F34+G32</f>
        <v>-2760623.2549141641</v>
      </c>
      <c r="H34" s="0">
        <f>G34+H32</f>
        <v>56188.889821273275</v>
      </c>
      <c r="I34" s="0">
        <f>H34+I32</f>
        <v>2891046.3255097633</v>
      </c>
      <c r="J34" s="0">
        <f>I34+J32</f>
        <v>4943481.4341718238</v>
      </c>
      <c r="K34" s="0">
        <f>J34+K32</f>
        <v>7812996.5323734246</v>
      </c>
      <c r="L34" s="0">
        <f>K34+L32</f>
        <v>16126073.416842312</v>
      </c>
    </row>
    <row r="35" ht="23" customHeight="1">
      <c r="A35" s="0" t="inlineStr">
        <is>
          <t xml:space="preserve">Acumulado descontado</t>
        </is>
      </c>
      <c r="B35" s="2">
        <f>B33</f>
        <v>-12384657.534246575</v>
      </c>
      <c r="C35" s="2">
        <f>B35+C33</f>
        <v>-11689171.855541719</v>
      </c>
      <c r="D35" s="2">
        <f>C35+D33</f>
        <v>-10142214.423185781</v>
      </c>
      <c r="E35" s="2">
        <f>D35+E33</f>
        <v>-8398525.8791926969</v>
      </c>
      <c r="F35" s="2">
        <f>E35+F33</f>
        <v>-7122654.1005543154</v>
      </c>
      <c r="G35" s="2">
        <f>F35+G33</f>
        <v>-5385112.4420441957</v>
      </c>
      <c r="H35" s="2">
        <f>G35+H33</f>
        <v>-3795095.4204821745</v>
      </c>
      <c r="I35" s="2">
        <f>H35+I33</f>
        <v>-2340365.313331943</v>
      </c>
      <c r="J35" s="2">
        <f>I35+J33</f>
        <v>-1382889.1877395264</v>
      </c>
      <c r="K35" s="2">
        <f>J35+K33</f>
        <v>-165934.6687083412</v>
      </c>
      <c r="L35" s="2">
        <f>K35+L33</f>
        <v>3039116.3386103949</v>
      </c>
    </row>
    <row r="36" ht="23" customHeight="1">
      <c r="A36" s="0" t="inlineStr">
        <is>
          <t xml:space="preserve">Deuda al inicio</t>
        </is>
      </c>
      <c r="B36" s="0">
        <v>0</v>
      </c>
      <c r="C36" s="0">
        <f>B39</f>
        <v>6000000</v>
      </c>
      <c r="D36" s="0">
        <f>C39</f>
        <v>6000000</v>
      </c>
      <c r="E36" s="0">
        <f>D39</f>
        <v>5000000</v>
      </c>
      <c r="F36" s="0">
        <f>E39</f>
        <v>4000000</v>
      </c>
      <c r="G36" s="0">
        <f>F39</f>
        <v>3000000</v>
      </c>
      <c r="H36" s="0">
        <f>G39</f>
        <v>2000000</v>
      </c>
      <c r="I36" s="0">
        <f>H39</f>
        <v>1000000</v>
      </c>
      <c r="J36" s="0">
        <f>I39</f>
        <v>0</v>
      </c>
      <c r="K36" s="0">
        <f>J39</f>
        <v>0</v>
      </c>
      <c r="L36" s="0">
        <f>K39</f>
        <v>0</v>
      </c>
    </row>
    <row r="37" ht="23" customHeight="1">
      <c r="A37" s="0" t="inlineStr">
        <is>
          <t xml:space="preserve">Intereses</t>
        </is>
      </c>
      <c r="B37" s="0">
        <v>0</v>
      </c>
      <c r="C37" s="0">
        <f>C36*Hipotesis!$B$29</f>
        <v>300000</v>
      </c>
      <c r="D37" s="0">
        <f>D36*Hipotesis!$B$29</f>
        <v>300000</v>
      </c>
      <c r="E37" s="0">
        <f>E36*Hipotesis!$B$29</f>
        <v>250000</v>
      </c>
      <c r="F37" s="0">
        <f>F36*Hipotesis!$B$29</f>
        <v>200000</v>
      </c>
      <c r="G37" s="0">
        <f>G36*Hipotesis!$B$29</f>
        <v>150000</v>
      </c>
      <c r="H37" s="0">
        <f>H36*Hipotesis!$B$29</f>
        <v>100000</v>
      </c>
      <c r="I37" s="0">
        <f>I36*Hipotesis!$B$29</f>
        <v>50000</v>
      </c>
      <c r="J37" s="0">
        <f>J36*Hipotesis!$B$29</f>
        <v>0</v>
      </c>
      <c r="K37" s="0">
        <f>K36*Hipotesis!$B$29</f>
        <v>0</v>
      </c>
      <c r="L37" s="0">
        <f>L36*Hipotesis!$B$29</f>
        <v>0</v>
      </c>
    </row>
    <row r="38" ht="23" customHeight="1">
      <c r="A38" s="0" t="inlineStr">
        <is>
          <t xml:space="preserve">Devolución principal</t>
        </is>
      </c>
      <c r="B38" s="0">
        <v>0</v>
      </c>
      <c r="C38" s="0">
        <f>IF(AND(C$3&gt;=2,C$3&lt;=7),MIN(C36,Hipotesis!$B$30),0)</f>
        <v>0</v>
      </c>
      <c r="D38" s="0">
        <f>IF(AND(D$3&gt;=2,D$3&lt;=7),MIN(D36,Hipotesis!$B$30),0)</f>
        <v>1000000</v>
      </c>
      <c r="E38" s="0">
        <f>IF(AND(E$3&gt;=2,E$3&lt;=7),MIN(E36,Hipotesis!$B$30),0)</f>
        <v>1000000</v>
      </c>
      <c r="F38" s="0">
        <f>IF(AND(F$3&gt;=2,F$3&lt;=7),MIN(F36,Hipotesis!$B$30),0)</f>
        <v>1000000</v>
      </c>
      <c r="G38" s="0">
        <f>IF(AND(G$3&gt;=2,G$3&lt;=7),MIN(G36,Hipotesis!$B$30),0)</f>
        <v>1000000</v>
      </c>
      <c r="H38" s="0">
        <f>IF(AND(H$3&gt;=2,H$3&lt;=7),MIN(H36,Hipotesis!$B$30),0)</f>
        <v>1000000</v>
      </c>
      <c r="I38" s="0">
        <f>IF(AND(I$3&gt;=2,I$3&lt;=7),MIN(I36,Hipotesis!$B$30),0)</f>
        <v>1000000</v>
      </c>
      <c r="J38" s="0">
        <f>IF(AND(J$3&gt;=2,J$3&lt;=7),MIN(J36,Hipotesis!$B$30),0)</f>
        <v>0</v>
      </c>
      <c r="K38" s="0">
        <f>IF(AND(K$3&gt;=2,K$3&lt;=7),MIN(K36,Hipotesis!$B$30),0)</f>
        <v>0</v>
      </c>
      <c r="L38" s="0">
        <f>IF(AND(L$3&gt;=2,L$3&lt;=7),MIN(L36,Hipotesis!$B$30),0)</f>
        <v>0</v>
      </c>
    </row>
    <row r="39" ht="23" customHeight="1">
      <c r="A39" s="0" t="inlineStr">
        <is>
          <t xml:space="preserve">Deuda al cierre</t>
        </is>
      </c>
      <c r="B39" s="0">
        <f>Hipotesis!B28</f>
        <v>6000000</v>
      </c>
      <c r="C39" s="0">
        <f>C36-C38</f>
        <v>6000000</v>
      </c>
      <c r="D39" s="0">
        <f>D36-D38</f>
        <v>5000000</v>
      </c>
      <c r="E39" s="0">
        <f>E36-E38</f>
        <v>4000000</v>
      </c>
      <c r="F39" s="0">
        <f>F36-F38</f>
        <v>3000000</v>
      </c>
      <c r="G39" s="0">
        <f>G36-G38</f>
        <v>2000000</v>
      </c>
      <c r="H39" s="0">
        <f>H36-H38</f>
        <v>1000000</v>
      </c>
      <c r="I39" s="0">
        <f>I36-I38</f>
        <v>0</v>
      </c>
      <c r="J39" s="0">
        <f>J36-J38</f>
        <v>0</v>
      </c>
      <c r="K39" s="0">
        <f>K36-K38</f>
        <v>0</v>
      </c>
      <c r="L39" s="0">
        <f>L36-L38</f>
        <v>0</v>
      </c>
    </row>
    <row r="40" ht="23" customHeight="1">
      <c r="A40" s="0" t="inlineStr">
        <is>
          <t xml:space="preserve">IS con deuda (explotación)</t>
        </is>
      </c>
      <c r="B40" s="0">
        <v>0</v>
      </c>
      <c r="C40" s="0">
        <f>(C18-C37)*Hipotesis!$B$24</f>
        <v>137500</v>
      </c>
      <c r="D40" s="0">
        <f>(D18-D37)*Hipotesis!$B$24</f>
        <v>286750</v>
      </c>
      <c r="E40" s="0">
        <f>(E18-E37)*Hipotesis!$B$24</f>
        <v>451890</v>
      </c>
      <c r="F40" s="0">
        <f>(F18-F37)*Hipotesis!$B$24</f>
        <v>545296.12812500086</v>
      </c>
      <c r="G40" s="0">
        <f>(G18-G37)*Hipotesis!$B$24</f>
        <v>564325.44482812565</v>
      </c>
      <c r="H40" s="0">
        <f>(H18-H37)*Hipotesis!$B$24</f>
        <v>583222.18271882948</v>
      </c>
      <c r="I40" s="0">
        <f>(I18-I37)*Hipotesis!$B$24</f>
        <v>601977.1110922005</v>
      </c>
      <c r="J40" s="0">
        <f>(J18-J37)*Hipotesis!$B$24</f>
        <v>620580.65015101316</v>
      </c>
      <c r="K40" s="0">
        <f>(K18-K37)*Hipotesis!$B$24</f>
        <v>626522.859911928</v>
      </c>
      <c r="L40" s="0">
        <f>(L18-L37)*Hipotesis!$B$24</f>
        <v>632293.4287870063</v>
      </c>
    </row>
    <row r="41" ht="23" customHeight="1">
      <c r="A41" s="0" t="inlineStr">
        <is>
          <t xml:space="preserve">Caja disponible para deuda (sin venta final)</t>
        </is>
      </c>
      <c r="B41" s="0">
        <v>0</v>
      </c>
      <c r="C41" s="0">
        <f>C12-C40-C24-C25</f>
        <v>840034.24657534226</v>
      </c>
      <c r="D41" s="0">
        <f>D12-D40-D24-D25</f>
        <v>1946818.493150685</v>
      </c>
      <c r="E41" s="0">
        <f>E12-E40-E24-E25</f>
        <v>2383349.4520547949</v>
      </c>
      <c r="F41" s="0">
        <f>F12-F40-F24-F25</f>
        <v>1918003.8711044544</v>
      </c>
      <c r="G41" s="0">
        <f>G12-G40-G24-G25</f>
        <v>2835828.216447134</v>
      </c>
      <c r="H41" s="0">
        <f>H12-H40-H24-H25</f>
        <v>2841812.1447354378</v>
      </c>
      <c r="I41" s="0">
        <f>I12-I40-I24-I25</f>
        <v>2847357.43568849</v>
      </c>
      <c r="J41" s="0">
        <f>J12-J40-J24-J25</f>
        <v>2052435.1086620605</v>
      </c>
      <c r="K41" s="0">
        <f>K12-K40-K24-K25</f>
        <v>2869515.0982016008</v>
      </c>
      <c r="L41" s="0">
        <f>L12-L40-L24-L25</f>
        <v>2886066.2197160865</v>
      </c>
    </row>
    <row r="42" ht="23" customHeight="1">
      <c r="A42" s="0" t="inlineStr">
        <is>
          <t xml:space="preserve">DSCR</t>
        </is>
      </c>
      <c r="B42" s="0">
        <v>0</v>
      </c>
      <c r="C42" s="0">
        <f>IF(C37+C38&gt;0,C41/(C37+C38),"—")</f>
        <v>2.800114155251141</v>
      </c>
      <c r="D42" s="0">
        <f>IF(D37+D38&gt;0,D41/(D37+D38),"—")</f>
        <v>1.4975526870389884</v>
      </c>
      <c r="E42" s="0">
        <f>IF(E37+E38&gt;0,E41/(E37+E38),"—")</f>
        <v>1.9066795616438359</v>
      </c>
      <c r="F42" s="0">
        <f>IF(F37+F38&gt;0,F41/(F37+F38),"—")</f>
        <v>1.5983365592537118</v>
      </c>
      <c r="G42" s="0">
        <f>IF(G37+G38&gt;0,G41/(G37+G38),"—")</f>
        <v>2.4659375795192471</v>
      </c>
      <c r="H42" s="0">
        <f>IF(H37+H38&gt;0,H41/(H37+H38),"—")</f>
        <v>2.583465586123125</v>
      </c>
      <c r="I42" s="0">
        <f>IF(I37+I38&gt;0,I41/(I37+I38),"—")</f>
        <v>2.7117689863699903</v>
      </c>
      <c r="J42" s="0" t="str">
        <f>IF(J37+J38&gt;0,J41/(J37+J38),"—")</f>
        <v>—</v>
      </c>
      <c r="K42" s="0" t="str">
        <f>IF(K37+K38&gt;0,K41/(K37+K38),"—")</f>
        <v>—</v>
      </c>
      <c r="L42" s="0" t="str">
        <f>IF(L37+L38&gt;0,L41/(L37+L38),"—")</f>
        <v>—</v>
      </c>
    </row>
    <row r="43" ht="23" customHeight="1">
      <c r="A43" s="0" t="inlineStr">
        <is>
          <t xml:space="preserve">Flujo para accionista</t>
        </is>
      </c>
      <c r="B43" s="2">
        <f>B32+B39</f>
        <v>-6384657.5342465751</v>
      </c>
      <c r="C43" s="2">
        <f>C32-C37*(1-Hipotesis!$B$24)-C38</f>
        <v>540034.24657534226</v>
      </c>
      <c r="D43" s="2">
        <f>D32-D37*(1-Hipotesis!$B$24)-D38</f>
        <v>646818.493150685</v>
      </c>
      <c r="E43" s="2">
        <f>E32-E37*(1-Hipotesis!$B$24)-E38</f>
        <v>1133349.4520547949</v>
      </c>
      <c r="F43" s="2">
        <f>F32-F37*(1-Hipotesis!$B$24)-F38</f>
        <v>718003.87110445416</v>
      </c>
      <c r="G43" s="2">
        <f>G32-G37*(1-Hipotesis!$B$24)-G38</f>
        <v>1685828.216447134</v>
      </c>
      <c r="H43" s="2">
        <f>H32-H37*(1-Hipotesis!$B$24)-H38</f>
        <v>1741812.1447354374</v>
      </c>
      <c r="I43" s="2">
        <f>I32-I37*(1-Hipotesis!$B$24)-I38</f>
        <v>1797357.43568849</v>
      </c>
      <c r="J43" s="2">
        <f>J32-J37*(1-Hipotesis!$B$24)-J38</f>
        <v>2052435.1086620605</v>
      </c>
      <c r="K43" s="2">
        <f>K32-K37*(1-Hipotesis!$B$24)-K38</f>
        <v>2869515.0982016008</v>
      </c>
      <c r="L43" s="2">
        <f>L32-L37*(1-Hipotesis!$B$24)-L38</f>
        <v>8313076.8844688889</v>
      </c>
    </row>
    <row r="44" ht="23" customHeight="1">
      <c r="A44" s="0" t="inlineStr">
        <is>
          <t xml:space="preserve">Flujo accionista descontado</t>
        </is>
      </c>
      <c r="B44" s="0">
        <f>B43</f>
        <v>-6384657.5342465751</v>
      </c>
      <c r="C44" s="0">
        <f>C43/(1+Hipotesis!$B$31)^C$3</f>
        <v>464545.58845190727</v>
      </c>
      <c r="D44" s="0">
        <f>D43/(1+Hipotesis!$B$31)^D$3</f>
        <v>478626.24074047682</v>
      </c>
      <c r="E44" s="0">
        <f>E43/(1+Hipotesis!$B$31)^E$3</f>
        <v>721414.64480579493</v>
      </c>
      <c r="F44" s="0">
        <f>F43/(1+Hipotesis!$B$31)^F$3</f>
        <v>393146.97597615491</v>
      </c>
      <c r="G44" s="0">
        <f>G43/(1+Hipotesis!$B$31)^G$3</f>
        <v>794051.20790107874</v>
      </c>
      <c r="H44" s="0">
        <f>H43/(1+Hipotesis!$B$31)^H$3</f>
        <v>705738.06921680889</v>
      </c>
      <c r="I44" s="0">
        <f>I43/(1+Hipotesis!$B$31)^I$3</f>
        <v>626446.11718159693</v>
      </c>
      <c r="J44" s="0">
        <f>J43/(1+Hipotesis!$B$31)^J$3</f>
        <v>615355.01242648973</v>
      </c>
      <c r="K44" s="0">
        <f>K43/(1+Hipotesis!$B$31)^K$3</f>
        <v>740068.39887158142</v>
      </c>
      <c r="L44" s="0">
        <f>L43/(1+Hipotesis!$B$31)^L$3</f>
        <v>1844302.6128381067</v>
      </c>
    </row>
    <row r="45" ht="23" customHeight="1">
      <c r="A45" s="0" t="inlineStr">
        <is>
          <t xml:space="preserve">Acumulado accionista</t>
        </is>
      </c>
      <c r="B45" s="0">
        <f>B43</f>
        <v>-6384657.5342465751</v>
      </c>
      <c r="C45" s="0">
        <f>B45+C43</f>
        <v>-5844623.2876712326</v>
      </c>
      <c r="D45" s="0">
        <f>C45+D43</f>
        <v>-5197804.7945205476</v>
      </c>
      <c r="E45" s="0">
        <f>D45+E43</f>
        <v>-4064455.3424657527</v>
      </c>
      <c r="F45" s="0">
        <f>E45+F43</f>
        <v>-3346451.4713612986</v>
      </c>
      <c r="G45" s="0">
        <f>F45+G43</f>
        <v>-1660623.2549141643</v>
      </c>
      <c r="H45" s="0">
        <f>G45+H43</f>
        <v>81188.889821272809</v>
      </c>
      <c r="I45" s="0">
        <f>H45+I43</f>
        <v>1878546.3255097629</v>
      </c>
      <c r="J45" s="0">
        <f>I45+J43</f>
        <v>3930981.4341718233</v>
      </c>
      <c r="K45" s="0">
        <f>J45+K43</f>
        <v>6800496.5323734246</v>
      </c>
      <c r="L45" s="0">
        <f>K45+L43</f>
        <v>15113573.416842312</v>
      </c>
    </row>
  </sheetData>
  <mergeCells count="2">
    <mergeCell ref="A1:L1"/>
    <mergeCell ref="A2:L2"/>
  </mergeCells>
</worksheet>
</file>

<file path=xl/worksheets/sheet3.xml><?xml version="1.0" encoding="utf-8"?>
<worksheet xmlns="http://schemas.openxmlformats.org/spreadsheetml/2006/main">
  <sheetViews>
    <sheetView workbookViewId="0">
      <pane xSplit="1" ySplit="3" topLeftCell="B4" activePane="bottomRight" state="frozen"/>
    </sheetView>
  </sheetViews>
  <cols>
    <col min="1" max="1" width="62" customWidth="1"/>
    <col min="2" max="12" width="18" customWidth="1"/>
  </cols>
  <sheetData>
    <row r="1" ht="42" customHeight="1">
      <c r="A1" s="1" t="inlineStr">
        <is>
          <t xml:space="preserve">LECTURA DE RESULTADOS</t>
        </is>
      </c>
    </row>
    <row r="3" ht="23" customHeight="1">
      <c r="A3" s="0" t="inlineStr">
        <is>
          <t xml:space="preserve">VAN proyecto</t>
        </is>
      </c>
      <c r="B3" s="2">
        <f>SUM(Modelo!B33:L33)</f>
        <v>3039116.3386103949</v>
      </c>
    </row>
    <row r="4" ht="23" customHeight="1">
      <c r="A4" s="0" t="inlineStr">
        <is>
          <t xml:space="preserve">TIR proyecto</t>
        </is>
      </c>
      <c r="B4" s="3">
        <f>IRR(Modelo!B32:L32)</f>
        <v>0.14181054462625131</v>
      </c>
    </row>
    <row r="5" ht="23" customHeight="1">
      <c r="A5" s="0" t="inlineStr">
        <is>
          <t xml:space="preserve">TIR accionista</t>
        </is>
      </c>
      <c r="B5" s="3">
        <f>IRR(Modelo!B43:L43)</f>
        <v>0.18934422204962431</v>
      </c>
    </row>
    <row r="6" ht="23" customHeight="1">
      <c r="A6" s="0" t="inlineStr">
        <is>
          <t xml:space="preserve">VAN accionista a tasa indicada</t>
        </is>
      </c>
      <c r="B6" s="2">
        <f>SUM(Modelo!B44:L44)</f>
        <v>999037.334163421</v>
      </c>
    </row>
    <row r="7" ht="23" customHeight="1">
      <c r="A7" s="0" t="inlineStr">
        <is>
          <t xml:space="preserve">DSCR mínimo</t>
        </is>
      </c>
      <c r="B7" s="0">
        <f>MIN(Modelo!C42:I42)</f>
        <v>1.4975526870389884</v>
      </c>
    </row>
    <row r="8" ht="23" customHeight="1">
      <c r="A8" s="0" t="inlineStr">
        <is>
          <t xml:space="preserve">Caja inicial necesaria (sin IVA/reserva)</t>
        </is>
      </c>
      <c r="B8" s="2">
        <f>-Modelo!B32</f>
        <v>12384657.534246575</v>
      </c>
    </row>
    <row r="9" ht="23" customHeight="1">
      <c r="A9" s="0" t="inlineStr">
        <is>
          <t xml:space="preserve">Aporte inicial accionista</t>
        </is>
      </c>
      <c r="B9" s="2">
        <f>-Modelo!B43</f>
        <v>6384657.5342465751</v>
      </c>
    </row>
    <row r="10" ht="23" customHeight="1">
      <c r="A10" s="0" t="inlineStr">
        <is>
          <t xml:space="preserve">VAN sin venta neta (con recuperación NOF)</t>
        </is>
      </c>
      <c r="B10" s="2">
        <f>B3-Modelo!L30/(1+Hipotesis!B25)^10</f>
        <v>1781281.3568465486</v>
      </c>
    </row>
    <row r="11" ht="23" customHeight="1">
      <c r="A11" s="0" t="inlineStr">
        <is>
          <t xml:space="preserve">Umbral contable año 1 (m²)</t>
        </is>
      </c>
      <c r="B11" s="0">
        <f>(Hipotesis!B17+Modelo!C17)/(Hipotesis!B14-Hipotesis!B15)</f>
        <v>45344.8275862069</v>
      </c>
    </row>
    <row r="13" ht="42" customHeight="1">
      <c r="A13" s="0" t="inlineStr">
        <is>
          <t xml:space="preserve">Payback simple base: 5,98 años; descontado: 9,15. Fracciones solo sobre caja operativa uniforme.</t>
        </is>
      </c>
    </row>
    <row r="14" ht="42" customHeight="1">
      <c r="A14" s="0" t="inlineStr">
        <is>
          <t xml:space="preserve">El modelo anual concentra cobros al cierre: recuperación observada al final de años 6 y 10.</t>
        </is>
      </c>
    </row>
    <row r="16" ht="42" customHeight="1">
      <c r="A16" s="1" t="inlineStr">
        <is>
          <t xml:space="preserve">LIQUIDEZ IVA · EJEMPLO SEPARADO (NO SUMADO AL VAN)</t>
        </is>
      </c>
    </row>
    <row r="17" ht="23" customHeight="1">
      <c r="A17" s="0" t="inlineStr">
        <is>
          <t xml:space="preserve">IVA soportado en maquinaria</t>
        </is>
      </c>
      <c r="B17" s="0">
        <f>Hipotesis!B6*Hipotesis!B34</f>
        <v>1596000</v>
      </c>
    </row>
    <row r="18" ht="23" customHeight="1">
      <c r="A18" s="0" t="inlineStr">
        <is>
          <t xml:space="preserve">Interés bruto puente IVA</t>
        </is>
      </c>
      <c r="B18" s="0">
        <f>B17*Hipotesis!B36*Hipotesis!B35/12</f>
        <v>39900</v>
      </c>
    </row>
    <row r="19" ht="23" customHeight="1">
      <c r="A19" s="0" t="inlineStr">
        <is>
          <t xml:space="preserve">Ahorro IS sobre interés (supuesto deducible)</t>
        </is>
      </c>
      <c r="B19" s="0">
        <f>B18*Hipotesis!B24</f>
        <v>9975</v>
      </c>
    </row>
    <row r="20" ht="23" customHeight="1">
      <c r="A20" s="0" t="inlineStr">
        <is>
          <t xml:space="preserve">Coste neto puente IVA</t>
        </is>
      </c>
      <c r="B20" s="0">
        <f>B18-B19</f>
        <v>29925</v>
      </c>
    </row>
    <row r="22" ht="42" customHeight="1">
      <c r="A22" s="1" t="inlineStr">
        <is>
          <t xml:space="preserve">SENSIBILIDAD PUBLICADA · VALORES DE REFERENCIA, NO FÓRMULAS</t>
        </is>
      </c>
    </row>
    <row r="23" ht="23" customHeight="1">
      <c r="A23" s="0" t="inlineStr">
        <is>
          <t xml:space="preserve">Ventas −15 %</t>
        </is>
      </c>
      <c r="B23" s="0">
        <v>-121240.44414542057</v>
      </c>
    </row>
    <row r="24" ht="23" customHeight="1">
      <c r="A24" s="0" t="inlineStr">
        <is>
          <t xml:space="preserve">Precio −10 %</t>
        </is>
      </c>
      <c r="B24" s="0">
        <v>-2745783.0761748515</v>
      </c>
    </row>
    <row r="25" ht="23" customHeight="1">
      <c r="A25" s="0" t="inlineStr">
        <is>
          <t xml:space="preserve">Coste variable +10 %</t>
        </is>
      </c>
      <c r="B25" s="0">
        <v>-638878.55433764309</v>
      </c>
    </row>
    <row r="26" ht="23" customHeight="1">
      <c r="A26" s="0" t="inlineStr">
        <is>
          <t xml:space="preserve">Inversión +15 %</t>
        </is>
      </c>
      <c r="B26" s="0">
        <v>1386218.7248661669</v>
      </c>
    </row>
    <row r="27" ht="23" customHeight="1">
      <c r="A27" s="0" t="inlineStr">
        <is>
          <t xml:space="preserve">Cobro a 90 días</t>
        </is>
      </c>
      <c r="B27" s="0">
        <v>2495858.6266704407</v>
      </c>
    </row>
    <row r="28" ht="23" customHeight="1">
      <c r="A28" s="0" t="inlineStr">
        <is>
          <t xml:space="preserve">Venta final −30 %</t>
        </is>
      </c>
      <c r="B28" s="0">
        <v>2744175.7221968034</v>
      </c>
    </row>
    <row r="29" ht="23" customHeight="1">
      <c r="A29" s="0" t="inlineStr">
        <is>
          <t xml:space="preserve">Descuento al 12 %</t>
        </is>
      </c>
      <c r="B29" s="0">
        <v>1467281.1401612761</v>
      </c>
    </row>
    <row r="32" ht="42" customHeight="1">
      <c r="A32" s="0" t="inlineStr">
        <is>
          <t xml:space="preserve">Comprobaciones: deuda final = 0; venta neta = 3.262.500; valor contable final = 3.300.000.</t>
        </is>
      </c>
    </row>
    <row r="34" ht="42" customHeight="1">
      <c r="A34" s="0" t="inlineStr">
        <is>
          <t xml:space="preserve">Fuentes: BOE Ley 27/2014 arts. 11,12,16,29; RD 634/2015 arts. 3,4; PGC NRV 2ª.</t>
        </is>
      </c>
    </row>
    <row r="35" ht="42" customHeight="1">
      <c r="A35" s="0" t="inlineStr">
        <is>
          <t xml:space="preserve">Supuestos docentes, no presupuestos de proveedores. Base legal consultada el 9 de octubre de 2026.</t>
        </is>
      </c>
    </row>
  </sheetData>
  <mergeCells count="8">
    <mergeCell ref="A1:L1"/>
    <mergeCell ref="A13:L13"/>
    <mergeCell ref="A14:L14"/>
    <mergeCell ref="A16:L16"/>
    <mergeCell ref="A22:L22"/>
    <mergeCell ref="A32:L32"/>
    <mergeCell ref="A34:L34"/>
    <mergeCell ref="A35:L35"/>
  </mergeCells>
</worksheet>
</file>